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627a9f491b663a8/Desktop/"/>
    </mc:Choice>
  </mc:AlternateContent>
  <xr:revisionPtr revIDLastSave="0" documentId="8_{3022513D-B31A-490C-A71A-8C5D5A0950A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ource Data" sheetId="1" r:id="rId1"/>
    <sheet name="Sales Dashboard" sheetId="2" r:id="rId2"/>
  </sheets>
  <calcPr calcId="191029"/>
  <pivotCaches>
    <pivotCache cacheId="0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H6" i="1"/>
  <c r="H7" i="1"/>
  <c r="H8" i="1"/>
  <c r="H9" i="1"/>
  <c r="H10" i="1"/>
  <c r="H11" i="1"/>
  <c r="H12" i="1"/>
  <c r="H5" i="1"/>
</calcChain>
</file>

<file path=xl/sharedStrings.xml><?xml version="1.0" encoding="utf-8"?>
<sst xmlns="http://schemas.openxmlformats.org/spreadsheetml/2006/main" count="52" uniqueCount="22">
  <si>
    <t>Date</t>
  </si>
  <si>
    <t>Product</t>
  </si>
  <si>
    <t>Category</t>
  </si>
  <si>
    <t>Price</t>
  </si>
  <si>
    <t>Quantity</t>
  </si>
  <si>
    <t>Apple</t>
  </si>
  <si>
    <t>Food</t>
  </si>
  <si>
    <t>Laptop</t>
  </si>
  <si>
    <t>Tech</t>
  </si>
  <si>
    <t>Banana</t>
  </si>
  <si>
    <t>T-Shirt</t>
  </si>
  <si>
    <t>Clothes</t>
  </si>
  <si>
    <t>Orange</t>
  </si>
  <si>
    <t>Mouse</t>
  </si>
  <si>
    <t>Kiwi</t>
  </si>
  <si>
    <t>Jacket</t>
  </si>
  <si>
    <t>Total</t>
  </si>
  <si>
    <t>Row Labels</t>
  </si>
  <si>
    <t>Sum of Total</t>
  </si>
  <si>
    <t>Grand Total</t>
  </si>
  <si>
    <t>Column Labels</t>
  </si>
  <si>
    <t xml:space="preserve"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</si>
</sst>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5555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8" xfId="0" applyFill="1" applyBorder="1" applyAlignment="1">
      <alignment vertical="top"/>
    </xf>
    <xf numFmtId="0" fontId="0" fillId="0" borderId="3" xfId="0" applyFill="1" applyBorder="1" applyAlignment="1">
      <alignment vertical="top"/>
    </xf>
    <xf numFmtId="0" fontId="0" fillId="0" borderId="4" xfId="0" applyFill="1" applyBorder="1" applyAlignment="1">
      <alignment vertical="top"/>
    </xf>
    <xf numFmtId="0" fontId="0" fillId="0" borderId="5" xfId="0" applyFill="1" applyBorder="1" applyAlignment="1">
      <alignment vertical="top"/>
    </xf>
    <xf numFmtId="0" fontId="0" fillId="0" borderId="6" xfId="0" applyFill="1" applyBorder="1" applyAlignment="1">
      <alignment vertical="top"/>
    </xf>
    <xf numFmtId="0" fontId="0" fillId="0" borderId="7" xfId="0" applyFill="1" applyBorder="1" applyAlignment="1">
      <alignment vertical="top"/>
    </xf>
  </cellXfs>
  <cellStyles count="1">
    <cellStyle name="Normal" xfId="0" builtinId="0"/>
  </cellStyles>
  <dxfs count="129"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5555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Sales Dashboard – Portfolio Project.xlsx]Source Data!PivotTable2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Sales</a:t>
            </a:r>
            <a:r>
              <a:rPr lang="pl-PL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'Source Data'!$N$5:$N$6</c:f>
              <c:strCache>
                <c:ptCount val="1"/>
                <c:pt idx="0">
                  <c:v>01/01/2024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Data'!$M$7:$M$10</c:f>
              <c:strCache>
                <c:ptCount val="3"/>
                <c:pt idx="0">
                  <c:v>Clothes</c:v>
                </c:pt>
                <c:pt idx="1">
                  <c:v>Food</c:v>
                </c:pt>
                <c:pt idx="2">
                  <c:v>Tech</c:v>
                </c:pt>
              </c:strCache>
            </c:strRef>
          </c:cat>
          <c:val>
            <c:numRef>
              <c:f>'Source Data'!$N$7:$N$10</c:f>
              <c:numCache>
                <c:formatCode>General</c:formatCode>
                <c:ptCount val="3"/>
                <c:pt idx="1">
                  <c:v>30</c:v>
                </c:pt>
                <c:pt idx="2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F-46D4-9A7C-22A237DDDCCF}"/>
            </c:ext>
          </c:extLst>
        </c:ser>
        <c:ser>
          <c:idx val="1"/>
          <c:order val="1"/>
          <c:tx>
            <c:strRef>
              <c:f>'Source Data'!$O$5:$O$6</c:f>
              <c:strCache>
                <c:ptCount val="1"/>
                <c:pt idx="0">
                  <c:v>02/01/2024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Data'!$M$7:$M$10</c:f>
              <c:strCache>
                <c:ptCount val="3"/>
                <c:pt idx="0">
                  <c:v>Clothes</c:v>
                </c:pt>
                <c:pt idx="1">
                  <c:v>Food</c:v>
                </c:pt>
                <c:pt idx="2">
                  <c:v>Tech</c:v>
                </c:pt>
              </c:strCache>
            </c:strRef>
          </c:cat>
          <c:val>
            <c:numRef>
              <c:f>'Source Data'!$O$7:$O$10</c:f>
              <c:numCache>
                <c:formatCode>General</c:formatCode>
                <c:ptCount val="3"/>
                <c:pt idx="0">
                  <c:v>100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EF-46D4-9A7C-22A237DDDCCF}"/>
            </c:ext>
          </c:extLst>
        </c:ser>
        <c:ser>
          <c:idx val="2"/>
          <c:order val="2"/>
          <c:tx>
            <c:strRef>
              <c:f>'Source Data'!$P$5:$P$6</c:f>
              <c:strCache>
                <c:ptCount val="1"/>
                <c:pt idx="0">
                  <c:v>03/01/2024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Data'!$M$7:$M$10</c:f>
              <c:strCache>
                <c:ptCount val="3"/>
                <c:pt idx="0">
                  <c:v>Clothes</c:v>
                </c:pt>
                <c:pt idx="1">
                  <c:v>Food</c:v>
                </c:pt>
                <c:pt idx="2">
                  <c:v>Tech</c:v>
                </c:pt>
              </c:strCache>
            </c:strRef>
          </c:cat>
          <c:val>
            <c:numRef>
              <c:f>'Source Data'!$P$7:$P$10</c:f>
              <c:numCache>
                <c:formatCode>General</c:formatCode>
                <c:ptCount val="3"/>
                <c:pt idx="1">
                  <c:v>60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EF-46D4-9A7C-22A237DDDCCF}"/>
            </c:ext>
          </c:extLst>
        </c:ser>
        <c:ser>
          <c:idx val="3"/>
          <c:order val="3"/>
          <c:tx>
            <c:strRef>
              <c:f>'Source Data'!$Q$5:$Q$6</c:f>
              <c:strCache>
                <c:ptCount val="1"/>
                <c:pt idx="0">
                  <c:v>04/01/2024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'Source Data'!$M$7:$M$10</c:f>
              <c:strCache>
                <c:ptCount val="3"/>
                <c:pt idx="0">
                  <c:v>Clothes</c:v>
                </c:pt>
                <c:pt idx="1">
                  <c:v>Food</c:v>
                </c:pt>
                <c:pt idx="2">
                  <c:v>Tech</c:v>
                </c:pt>
              </c:strCache>
            </c:strRef>
          </c:cat>
          <c:val>
            <c:numRef>
              <c:f>'Source Data'!$Q$7:$Q$10</c:f>
              <c:numCache>
                <c:formatCode>General</c:formatCode>
                <c:ptCount val="3"/>
                <c:pt idx="0">
                  <c:v>160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EF-46D4-9A7C-22A237DDDC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677664"/>
        <c:axId val="431678144"/>
      </c:barChart>
      <c:catAx>
        <c:axId val="43167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78144"/>
        <c:crosses val="autoZero"/>
        <c:auto val="1"/>
        <c:lblAlgn val="ctr"/>
        <c:lblOffset val="100"/>
        <c:noMultiLvlLbl val="0"/>
      </c:catAx>
      <c:valAx>
        <c:axId val="43167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7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11</xdr:row>
      <xdr:rowOff>160020</xdr:rowOff>
    </xdr:from>
    <xdr:to>
      <xdr:col>6</xdr:col>
      <xdr:colOff>586740</xdr:colOff>
      <xdr:row>27</xdr:row>
      <xdr:rowOff>51361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6147DE-C065-4A70-88F2-713387245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</xdr:row>
      <xdr:rowOff>160020</xdr:rowOff>
    </xdr:from>
    <xdr:to>
      <xdr:col>4</xdr:col>
      <xdr:colOff>236880</xdr:colOff>
      <xdr:row>8</xdr:row>
      <xdr:rowOff>325620</xdr:rowOff>
    </xdr:to>
    <xdr:sp macro="" textlink="'Source Data'!C20">
      <xdr:nvSpPr>
        <xdr:cNvPr id="4" name="Rectangle 3">
          <a:extLst>
            <a:ext uri="{FF2B5EF4-FFF2-40B4-BE49-F238E27FC236}">
              <a16:creationId xmlns:a16="http://schemas.microsoft.com/office/drawing/2014/main" id="{8D248462-1EC0-E290-E9DF-B80578A55ADC}"/>
            </a:ext>
          </a:extLst>
        </xdr:cNvPr>
        <xdr:cNvSpPr>
          <a:spLocks/>
        </xdr:cNvSpPr>
      </xdr:nvSpPr>
      <xdr:spPr>
        <a:xfrm>
          <a:off x="4259580" y="708660"/>
          <a:ext cx="2340000" cy="1080000"/>
        </a:xfrm>
        <a:prstGeom prst="rect">
          <a:avLst/>
        </a:prstGeom>
        <a:solidFill>
          <a:schemeClr val="bg1"/>
        </a:solidFill>
        <a:ln w="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0"/>
        <a:lstStyle/>
        <a:p>
          <a:pPr algn="ctr"/>
          <a:fld id="{D474F38C-D3F6-4B46-953A-ABA66240698B}" type="TxLink">
            <a:rPr lang="en-US" sz="2200" b="1" i="0" u="none" strike="noStrike">
              <a:solidFill>
                <a:schemeClr val="tx2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1426</a:t>
          </a:fld>
          <a:endParaRPr lang="en-GB" sz="22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9</xdr:col>
      <xdr:colOff>15240</xdr:colOff>
      <xdr:row>27</xdr:row>
      <xdr:rowOff>129540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C1A680A-1562-71F5-5791-46A3E6CAC5D8}"/>
            </a:ext>
          </a:extLst>
        </xdr:cNvPr>
        <xdr:cNvSpPr txBox="1"/>
      </xdr:nvSpPr>
      <xdr:spPr>
        <a:xfrm>
          <a:off x="5501640" y="47015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4</xdr:col>
      <xdr:colOff>354330</xdr:colOff>
      <xdr:row>3</xdr:row>
      <xdr:rowOff>160020</xdr:rowOff>
    </xdr:from>
    <xdr:to>
      <xdr:col>8</xdr:col>
      <xdr:colOff>240690</xdr:colOff>
      <xdr:row>8</xdr:row>
      <xdr:rowOff>325620</xdr:rowOff>
    </xdr:to>
    <xdr:sp macro="" textlink="'Source Data'!M9">
      <xdr:nvSpPr>
        <xdr:cNvPr id="7" name="Rectangle 6">
          <a:extLst>
            <a:ext uri="{FF2B5EF4-FFF2-40B4-BE49-F238E27FC236}">
              <a16:creationId xmlns:a16="http://schemas.microsoft.com/office/drawing/2014/main" id="{ECA4A97C-7024-440C-B67A-E11D43872061}"/>
            </a:ext>
          </a:extLst>
        </xdr:cNvPr>
        <xdr:cNvSpPr/>
      </xdr:nvSpPr>
      <xdr:spPr>
        <a:xfrm>
          <a:off x="6717030" y="708660"/>
          <a:ext cx="2340000" cy="1080000"/>
        </a:xfrm>
        <a:prstGeom prst="rect">
          <a:avLst/>
        </a:prstGeom>
        <a:solidFill>
          <a:schemeClr val="bg1"/>
        </a:solidFill>
        <a:ln w="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9EC0D226-3CC6-49BB-87FC-88424C855EA4}" type="TxLink">
            <a:rPr lang="en-US" sz="2200" b="1" i="0" u="none" strike="noStrike">
              <a:solidFill>
                <a:schemeClr val="tx2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 algn="ctr"/>
            <a:t>Tech</a:t>
          </a:fld>
          <a:endParaRPr lang="en-GB" sz="2200" b="1" i="0" u="none" strike="noStrike">
            <a:solidFill>
              <a:schemeClr val="tx2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358140</xdr:colOff>
      <xdr:row>3</xdr:row>
      <xdr:rowOff>160020</xdr:rowOff>
    </xdr:from>
    <xdr:to>
      <xdr:col>10</xdr:col>
      <xdr:colOff>1593240</xdr:colOff>
      <xdr:row>8</xdr:row>
      <xdr:rowOff>325620</xdr:rowOff>
    </xdr:to>
    <xdr:sp macro="" textlink="'Source Data'!J5">
      <xdr:nvSpPr>
        <xdr:cNvPr id="8" name="Rectangle 7">
          <a:extLst>
            <a:ext uri="{FF2B5EF4-FFF2-40B4-BE49-F238E27FC236}">
              <a16:creationId xmlns:a16="http://schemas.microsoft.com/office/drawing/2014/main" id="{500705E5-EE3B-4ACA-8E45-457C72A8E295}"/>
            </a:ext>
          </a:extLst>
        </xdr:cNvPr>
        <xdr:cNvSpPr/>
      </xdr:nvSpPr>
      <xdr:spPr>
        <a:xfrm>
          <a:off x="9174480" y="708660"/>
          <a:ext cx="2340000" cy="1080000"/>
        </a:xfrm>
        <a:prstGeom prst="rect">
          <a:avLst/>
        </a:prstGeom>
        <a:solidFill>
          <a:schemeClr val="bg1"/>
        </a:solidFill>
        <a:ln w="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fld id="{EAC2CE6A-C3A0-4343-B568-0949253DE56B}" type="TxLink">
            <a:rPr lang="en-US" sz="2200" b="1" i="0" u="none" strike="noStrike">
              <a:solidFill>
                <a:schemeClr val="tx2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marL="0" indent="0" algn="ctr"/>
            <a:t>Laptop</a:t>
          </a:fld>
          <a:endParaRPr lang="en-GB" sz="2200" b="1" i="0" u="none" strike="noStrike">
            <a:solidFill>
              <a:schemeClr val="tx2"/>
            </a:solidFill>
            <a:latin typeface="Times New Roman" panose="02020603050405020304" pitchFamily="18" charset="0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0</xdr:colOff>
      <xdr:row>1</xdr:row>
      <xdr:rowOff>137160</xdr:rowOff>
    </xdr:from>
    <xdr:to>
      <xdr:col>4</xdr:col>
      <xdr:colOff>236880</xdr:colOff>
      <xdr:row>3</xdr:row>
      <xdr:rowOff>59400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2EDED6C-A2FA-DBA5-0C14-D8BE89C61264}"/>
            </a:ext>
          </a:extLst>
        </xdr:cNvPr>
        <xdr:cNvSpPr txBox="1"/>
      </xdr:nvSpPr>
      <xdr:spPr>
        <a:xfrm>
          <a:off x="4259580" y="320040"/>
          <a:ext cx="2340000" cy="28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l-PL" sz="1100">
              <a:solidFill>
                <a:srgbClr val="555555"/>
              </a:solidFill>
            </a:rPr>
            <a:t>Total Revenue</a:t>
          </a:r>
        </a:p>
      </xdr:txBody>
    </xdr:sp>
    <xdr:clientData/>
  </xdr:twoCellAnchor>
  <xdr:twoCellAnchor>
    <xdr:from>
      <xdr:col>4</xdr:col>
      <xdr:colOff>358140</xdr:colOff>
      <xdr:row>1</xdr:row>
      <xdr:rowOff>137160</xdr:rowOff>
    </xdr:from>
    <xdr:to>
      <xdr:col>8</xdr:col>
      <xdr:colOff>244500</xdr:colOff>
      <xdr:row>3</xdr:row>
      <xdr:rowOff>60960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3AE8338-83B1-880F-56A1-EB18144A8611}"/>
            </a:ext>
          </a:extLst>
        </xdr:cNvPr>
        <xdr:cNvSpPr txBox="1"/>
      </xdr:nvSpPr>
      <xdr:spPr>
        <a:xfrm>
          <a:off x="6720840" y="320040"/>
          <a:ext cx="234000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>
              <a:solidFill>
                <a:srgbClr val="555555"/>
              </a:solidFill>
            </a:rPr>
            <a:t>Best Category</a:t>
          </a:r>
        </a:p>
      </xdr:txBody>
    </xdr:sp>
    <xdr:clientData/>
  </xdr:twoCellAnchor>
  <xdr:twoCellAnchor>
    <xdr:from>
      <xdr:col>8</xdr:col>
      <xdr:colOff>358140</xdr:colOff>
      <xdr:row>1</xdr:row>
      <xdr:rowOff>137160</xdr:rowOff>
    </xdr:from>
    <xdr:to>
      <xdr:col>10</xdr:col>
      <xdr:colOff>1593240</xdr:colOff>
      <xdr:row>3</xdr:row>
      <xdr:rowOff>59400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7F0C432-81EE-D434-1730-93F8BB9201BA}"/>
            </a:ext>
          </a:extLst>
        </xdr:cNvPr>
        <xdr:cNvSpPr txBox="1"/>
      </xdr:nvSpPr>
      <xdr:spPr>
        <a:xfrm>
          <a:off x="9174480" y="320040"/>
          <a:ext cx="2340000" cy="28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>
              <a:solidFill>
                <a:srgbClr val="555555"/>
              </a:solidFill>
            </a:rPr>
            <a:t>Best Product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i Shust" refreshedDate="46147.435731365738" createdVersion="8" refreshedVersion="8" minRefreshableVersion="3" recordCount="8" xr:uid="{3395A651-1FB9-4D01-9B9A-35CB7F5EE656}">
  <cacheSource type="worksheet">
    <worksheetSource ref="C4:H12" sheet="Source Data"/>
  </cacheSource>
  <cacheFields count="6">
    <cacheField name="Date" numFmtId="14">
      <sharedItems containsSemiMixedTypes="0" containsNonDate="0" containsDate="1" containsString="0" minDate="2024-01-01T00:00:00" maxDate="2024-01-05T00:00:00" count="4">
        <d v="2024-01-01T00:00:00"/>
        <d v="2024-01-02T00:00:00"/>
        <d v="2024-01-03T00:00:00"/>
        <d v="2024-01-04T00:00:00"/>
      </sharedItems>
    </cacheField>
    <cacheField name="Product" numFmtId="0">
      <sharedItems count="8">
        <s v="Apple"/>
        <s v="Laptop"/>
        <s v="Banana"/>
        <s v="T-Shirt"/>
        <s v="Orange"/>
        <s v="Mouse"/>
        <s v="Kiwi"/>
        <s v="Jacket"/>
      </sharedItems>
    </cacheField>
    <cacheField name="Category" numFmtId="0">
      <sharedItems count="3">
        <s v="Food"/>
        <s v="Tech"/>
        <s v="Clothes"/>
      </sharedItems>
    </cacheField>
    <cacheField name="Price" numFmtId="0">
      <sharedItems containsSemiMixedTypes="0" containsString="0" containsNumber="1" containsInteger="1" minValue="3" maxValue="900"/>
    </cacheField>
    <cacheField name="Quantity" numFmtId="0">
      <sharedItems containsSemiMixedTypes="0" containsString="0" containsNumber="1" containsInteger="1" minValue="1" maxValue="15"/>
    </cacheField>
    <cacheField name="Total" numFmtId="0">
      <sharedItems containsSemiMixedTypes="0" containsString="0" containsNumber="1" containsInteger="1" minValue="30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3"/>
    <n v="10"/>
    <n v="30"/>
  </r>
  <r>
    <x v="0"/>
    <x v="1"/>
    <x v="1"/>
    <n v="900"/>
    <n v="1"/>
    <n v="900"/>
  </r>
  <r>
    <x v="1"/>
    <x v="2"/>
    <x v="0"/>
    <n v="4"/>
    <n v="15"/>
    <n v="60"/>
  </r>
  <r>
    <x v="1"/>
    <x v="3"/>
    <x v="2"/>
    <n v="25"/>
    <n v="4"/>
    <n v="100"/>
  </r>
  <r>
    <x v="2"/>
    <x v="4"/>
    <x v="0"/>
    <n v="5"/>
    <n v="12"/>
    <n v="60"/>
  </r>
  <r>
    <x v="2"/>
    <x v="5"/>
    <x v="1"/>
    <n v="20"/>
    <n v="3"/>
    <n v="60"/>
  </r>
  <r>
    <x v="3"/>
    <x v="6"/>
    <x v="0"/>
    <n v="7"/>
    <n v="8"/>
    <n v="56"/>
  </r>
  <r>
    <x v="3"/>
    <x v="7"/>
    <x v="2"/>
    <n v="80"/>
    <n v="2"/>
    <n v="1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77DE6-44E7-4640-B7BF-FFE1E26199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J4:K13" firstHeaderRow="1" firstDataRow="1" firstDataCol="1"/>
  <pivotFields count="6">
    <pivotField numFmtId="14" showAll="0"/>
    <pivotField axis="axisRow" showAll="0" sortType="descending">
      <items count="9">
        <item x="0"/>
        <item x="2"/>
        <item x="7"/>
        <item x="6"/>
        <item x="1"/>
        <item x="5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1"/>
  </rowFields>
  <rowItems count="9">
    <i>
      <x v="4"/>
    </i>
    <i>
      <x v="2"/>
    </i>
    <i>
      <x v="7"/>
    </i>
    <i>
      <x v="5"/>
    </i>
    <i>
      <x v="6"/>
    </i>
    <i>
      <x v="1"/>
    </i>
    <i>
      <x v="3"/>
    </i>
    <i>
      <x/>
    </i>
    <i t="grand">
      <x/>
    </i>
  </rowItems>
  <colItems count="1">
    <i/>
  </colItems>
  <dataFields count="1"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B571D-D2E0-4269-89FB-F7D4C7ECBDF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M5:R10" firstHeaderRow="1" firstDataRow="2" firstDataCol="1"/>
  <pivotFields count="6">
    <pivotField axis="axisCol" numFmtId="14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" fld="5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41016-0EAB-456C-A65B-78A0EF11F2A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Top Product" fieldListSortAscending="1">
  <location ref="J13:K22" firstHeaderRow="1" firstDataRow="1" firstDataCol="1"/>
  <pivotFields count="6">
    <pivotField compact="0" numFmtId="14" outline="0" showAll="0"/>
    <pivotField axis="axisRow" compact="0" outline="0" showAll="0" sortType="descending">
      <items count="9">
        <item x="0"/>
        <item x="2"/>
        <item x="7"/>
        <item x="6"/>
        <item x="1"/>
        <item x="5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9">
    <i>
      <x v="4"/>
    </i>
    <i>
      <x v="2"/>
    </i>
    <i>
      <x v="7"/>
    </i>
    <i>
      <x v="5"/>
    </i>
    <i>
      <x v="6"/>
    </i>
    <i>
      <x v="1"/>
    </i>
    <i>
      <x v="3"/>
    </i>
    <i>
      <x/>
    </i>
    <i t="grand">
      <x/>
    </i>
  </rowItems>
  <colItems count="1">
    <i/>
  </colItems>
  <dataFields count="1">
    <dataField name=" Total" fld="5" baseField="0" baseItem="0"/>
  </dataFields>
  <formats count="3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dataOnly="0" labelOnly="1" outline="0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6">
      <pivotArea dataOnly="0" labelOnly="1" outline="0" axis="axisValues" fieldPosition="0"/>
    </format>
    <format dxfId="17">
      <pivotArea field="1" type="button" dataOnly="0" labelOnly="1" outline="0" axis="axisRow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1" type="button" dataOnly="0" labelOnly="1" outline="0" axis="axisRow" fieldPosition="0"/>
    </format>
    <format dxfId="21">
      <pivotArea dataOnly="0" labelOnly="1" outline="0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1" type="button" dataOnly="0" labelOnly="1" outline="0" axis="axisRow" fieldPosition="0"/>
    </format>
    <format dxfId="27">
      <pivotArea dataOnly="0" labelOnly="1" outline="0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9">
      <pivotArea dataOnly="0" labelOnly="1" outline="0" axis="axisValues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1" type="button" dataOnly="0" labelOnly="1" outline="0" axis="axisRow" fieldPosition="0"/>
    </format>
    <format dxfId="33">
      <pivotArea dataOnly="0" labelOnly="1" outline="0" fieldPosition="0">
        <references count="1">
          <reference field="1" count="0"/>
        </references>
      </pivotArea>
    </format>
    <format dxfId="34">
      <pivotArea dataOnly="0" labelOnly="1" grandRow="1" outline="0" fieldPosition="0"/>
    </format>
    <format dxfId="35">
      <pivotArea dataOnly="0" labelOnly="1" outline="0" axis="axisValues" fieldPosition="0"/>
    </format>
  </formats>
  <pivotTableStyleInfo name="PivotStyleLight15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R20"/>
  <sheetViews>
    <sheetView topLeftCell="B1" zoomScale="85" zoomScaleNormal="85" workbookViewId="0">
      <selection activeCell="O26" sqref="O26"/>
    </sheetView>
  </sheetViews>
  <sheetFormatPr defaultRowHeight="14.4" x14ac:dyDescent="0.3"/>
  <cols>
    <col min="3" max="3" width="11.5546875" bestFit="1" customWidth="1"/>
    <col min="4" max="4" width="7.88671875" bestFit="1" customWidth="1"/>
    <col min="6" max="6" width="5.33203125" bestFit="1" customWidth="1"/>
    <col min="7" max="7" width="8.6640625" bestFit="1" customWidth="1"/>
    <col min="8" max="8" width="5.33203125" bestFit="1" customWidth="1"/>
    <col min="11" max="11" width="12.21875" bestFit="1" customWidth="1"/>
    <col min="13" max="13" width="13.88671875" bestFit="1" customWidth="1"/>
    <col min="14" max="17" width="11.88671875" bestFit="1" customWidth="1"/>
    <col min="18" max="18" width="11.109375" bestFit="1" customWidth="1"/>
  </cols>
  <sheetData>
    <row r="4" spans="3:18" x14ac:dyDescent="0.3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16</v>
      </c>
      <c r="J4" s="6" t="s">
        <v>17</v>
      </c>
      <c r="K4" t="s">
        <v>18</v>
      </c>
    </row>
    <row r="5" spans="3:18" x14ac:dyDescent="0.3">
      <c r="C5" s="3">
        <v>45292</v>
      </c>
      <c r="D5" s="4" t="s">
        <v>5</v>
      </c>
      <c r="E5" s="4" t="s">
        <v>6</v>
      </c>
      <c r="F5" s="4">
        <v>3</v>
      </c>
      <c r="G5" s="4">
        <v>10</v>
      </c>
      <c r="H5" s="5">
        <f>F5*G5</f>
        <v>30</v>
      </c>
      <c r="J5" s="7" t="s">
        <v>7</v>
      </c>
      <c r="K5">
        <v>900</v>
      </c>
      <c r="M5" s="6" t="s">
        <v>18</v>
      </c>
      <c r="N5" s="6" t="s">
        <v>20</v>
      </c>
    </row>
    <row r="6" spans="3:18" x14ac:dyDescent="0.3">
      <c r="C6" s="3">
        <v>45292</v>
      </c>
      <c r="D6" s="4" t="s">
        <v>7</v>
      </c>
      <c r="E6" s="4" t="s">
        <v>8</v>
      </c>
      <c r="F6" s="4">
        <v>900</v>
      </c>
      <c r="G6" s="4">
        <v>1</v>
      </c>
      <c r="H6" s="5">
        <f t="shared" ref="H6:H12" si="0">F6*G6</f>
        <v>900</v>
      </c>
      <c r="J6" s="7" t="s">
        <v>15</v>
      </c>
      <c r="K6">
        <v>160</v>
      </c>
      <c r="M6" s="6" t="s">
        <v>17</v>
      </c>
      <c r="N6" s="1">
        <v>45292</v>
      </c>
      <c r="O6" s="1">
        <v>45293</v>
      </c>
      <c r="P6" s="1">
        <v>45294</v>
      </c>
      <c r="Q6" s="1">
        <v>45295</v>
      </c>
      <c r="R6" s="1" t="s">
        <v>19</v>
      </c>
    </row>
    <row r="7" spans="3:18" x14ac:dyDescent="0.3">
      <c r="C7" s="3">
        <v>45293</v>
      </c>
      <c r="D7" s="4" t="s">
        <v>9</v>
      </c>
      <c r="E7" s="4" t="s">
        <v>6</v>
      </c>
      <c r="F7" s="4">
        <v>4</v>
      </c>
      <c r="G7" s="4">
        <v>15</v>
      </c>
      <c r="H7" s="5">
        <f t="shared" si="0"/>
        <v>60</v>
      </c>
      <c r="J7" s="7" t="s">
        <v>10</v>
      </c>
      <c r="K7">
        <v>100</v>
      </c>
      <c r="M7" s="7" t="s">
        <v>11</v>
      </c>
      <c r="O7">
        <v>100</v>
      </c>
      <c r="Q7">
        <v>160</v>
      </c>
      <c r="R7">
        <v>260</v>
      </c>
    </row>
    <row r="8" spans="3:18" x14ac:dyDescent="0.3">
      <c r="C8" s="3">
        <v>45293</v>
      </c>
      <c r="D8" s="4" t="s">
        <v>10</v>
      </c>
      <c r="E8" s="4" t="s">
        <v>11</v>
      </c>
      <c r="F8" s="4">
        <v>25</v>
      </c>
      <c r="G8" s="4">
        <v>4</v>
      </c>
      <c r="H8" s="5">
        <f t="shared" si="0"/>
        <v>100</v>
      </c>
      <c r="J8" s="7" t="s">
        <v>13</v>
      </c>
      <c r="K8">
        <v>60</v>
      </c>
      <c r="M8" s="7" t="s">
        <v>6</v>
      </c>
      <c r="N8">
        <v>30</v>
      </c>
      <c r="O8">
        <v>60</v>
      </c>
      <c r="P8">
        <v>60</v>
      </c>
      <c r="Q8">
        <v>56</v>
      </c>
      <c r="R8">
        <v>206</v>
      </c>
    </row>
    <row r="9" spans="3:18" x14ac:dyDescent="0.3">
      <c r="C9" s="3">
        <v>45294</v>
      </c>
      <c r="D9" s="4" t="s">
        <v>12</v>
      </c>
      <c r="E9" s="4" t="s">
        <v>6</v>
      </c>
      <c r="F9" s="4">
        <v>5</v>
      </c>
      <c r="G9" s="4">
        <v>12</v>
      </c>
      <c r="H9" s="5">
        <f t="shared" si="0"/>
        <v>60</v>
      </c>
      <c r="J9" s="7" t="s">
        <v>12</v>
      </c>
      <c r="K9">
        <v>60</v>
      </c>
      <c r="M9" s="7" t="s">
        <v>8</v>
      </c>
      <c r="N9">
        <v>900</v>
      </c>
      <c r="P9">
        <v>60</v>
      </c>
      <c r="R9">
        <v>960</v>
      </c>
    </row>
    <row r="10" spans="3:18" x14ac:dyDescent="0.3">
      <c r="C10" s="3">
        <v>45294</v>
      </c>
      <c r="D10" s="4" t="s">
        <v>13</v>
      </c>
      <c r="E10" s="4" t="s">
        <v>8</v>
      </c>
      <c r="F10" s="4">
        <v>20</v>
      </c>
      <c r="G10" s="4">
        <v>3</v>
      </c>
      <c r="H10" s="5">
        <f t="shared" si="0"/>
        <v>60</v>
      </c>
      <c r="J10" s="7" t="s">
        <v>9</v>
      </c>
      <c r="K10">
        <v>60</v>
      </c>
      <c r="M10" s="7" t="s">
        <v>19</v>
      </c>
      <c r="N10">
        <v>930</v>
      </c>
      <c r="O10">
        <v>160</v>
      </c>
      <c r="P10">
        <v>120</v>
      </c>
      <c r="Q10">
        <v>216</v>
      </c>
      <c r="R10">
        <v>1426</v>
      </c>
    </row>
    <row r="11" spans="3:18" x14ac:dyDescent="0.3">
      <c r="C11" s="3">
        <v>45295</v>
      </c>
      <c r="D11" s="4" t="s">
        <v>14</v>
      </c>
      <c r="E11" s="4" t="s">
        <v>6</v>
      </c>
      <c r="F11" s="4">
        <v>7</v>
      </c>
      <c r="G11" s="4">
        <v>8</v>
      </c>
      <c r="H11" s="5">
        <f t="shared" si="0"/>
        <v>56</v>
      </c>
      <c r="J11" s="7" t="s">
        <v>14</v>
      </c>
      <c r="K11">
        <v>56</v>
      </c>
    </row>
    <row r="12" spans="3:18" x14ac:dyDescent="0.3">
      <c r="C12" s="3">
        <v>45295</v>
      </c>
      <c r="D12" s="4" t="s">
        <v>15</v>
      </c>
      <c r="E12" s="4" t="s">
        <v>11</v>
      </c>
      <c r="F12" s="4">
        <v>80</v>
      </c>
      <c r="G12" s="4">
        <v>2</v>
      </c>
      <c r="H12" s="5">
        <f t="shared" si="0"/>
        <v>160</v>
      </c>
      <c r="J12" s="7" t="s">
        <v>5</v>
      </c>
      <c r="K12">
        <v>30</v>
      </c>
    </row>
    <row r="13" spans="3:18" x14ac:dyDescent="0.3">
      <c r="J13" s="7" t="s">
        <v>19</v>
      </c>
      <c r="K13">
        <v>1426</v>
      </c>
    </row>
    <row r="20" spans="3:3" x14ac:dyDescent="0.3">
      <c r="C20">
        <f>SUM(H5:H12)</f>
        <v>1426</v>
      </c>
    </row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B449-779D-4F9E-AAB8-B97C2899F238}">
  <dimension ref="B4:K22"/>
  <sheetViews>
    <sheetView showGridLines="0" tabSelected="1" zoomScaleNormal="100" workbookViewId="0">
      <selection activeCell="H11" sqref="H11"/>
    </sheetView>
  </sheetViews>
  <sheetFormatPr defaultRowHeight="14.4" x14ac:dyDescent="0.3"/>
  <cols>
    <col min="1" max="1" width="8.77734375" style="8" customWidth="1"/>
    <col min="2" max="2" width="8.88671875" style="8"/>
    <col min="3" max="3" width="8.6640625" style="8" customWidth="1"/>
    <col min="4" max="4" width="13.109375" style="8" bestFit="1" customWidth="1"/>
    <col min="5" max="5" width="5.6640625" style="8" customWidth="1"/>
    <col min="6" max="6" width="8.88671875" style="8" customWidth="1"/>
    <col min="7" max="7" width="8.6640625" style="8" customWidth="1"/>
    <col min="8" max="8" width="12.5546875" style="8" customWidth="1"/>
    <col min="9" max="9" width="5.33203125" style="8" customWidth="1"/>
    <col min="10" max="10" width="10.77734375" style="8" bestFit="1" customWidth="1"/>
    <col min="11" max="11" width="23.33203125" style="8" customWidth="1"/>
    <col min="12" max="16384" width="8.88671875" style="8"/>
  </cols>
  <sheetData>
    <row r="4" spans="2:11" x14ac:dyDescent="0.3">
      <c r="B4" s="9"/>
      <c r="C4" s="9"/>
      <c r="F4" s="9"/>
      <c r="G4" s="9"/>
      <c r="J4" s="10"/>
      <c r="K4" s="10"/>
    </row>
    <row r="9" spans="2:11" ht="27.6" customHeight="1" x14ac:dyDescent="0.3"/>
    <row r="13" spans="2:11" x14ac:dyDescent="0.3">
      <c r="J13" s="11" t="s">
        <v>1</v>
      </c>
      <c r="K13" s="12" t="s">
        <v>21</v>
      </c>
    </row>
    <row r="14" spans="2:11" x14ac:dyDescent="0.3">
      <c r="J14" s="13" t="s">
        <v>7</v>
      </c>
      <c r="K14" s="14">
        <v>900</v>
      </c>
    </row>
    <row r="15" spans="2:11" x14ac:dyDescent="0.3">
      <c r="J15" s="13" t="s">
        <v>15</v>
      </c>
      <c r="K15" s="14">
        <v>160</v>
      </c>
    </row>
    <row r="16" spans="2:11" x14ac:dyDescent="0.3">
      <c r="J16" s="13" t="s">
        <v>10</v>
      </c>
      <c r="K16" s="14">
        <v>100</v>
      </c>
    </row>
    <row r="17" spans="10:11" x14ac:dyDescent="0.3">
      <c r="J17" s="13" t="s">
        <v>13</v>
      </c>
      <c r="K17" s="14">
        <v>60</v>
      </c>
    </row>
    <row r="18" spans="10:11" x14ac:dyDescent="0.3">
      <c r="J18" s="13" t="s">
        <v>12</v>
      </c>
      <c r="K18" s="14">
        <v>60</v>
      </c>
    </row>
    <row r="19" spans="10:11" x14ac:dyDescent="0.3">
      <c r="J19" s="13" t="s">
        <v>9</v>
      </c>
      <c r="K19" s="14">
        <v>60</v>
      </c>
    </row>
    <row r="20" spans="10:11" x14ac:dyDescent="0.3">
      <c r="J20" s="13" t="s">
        <v>14</v>
      </c>
      <c r="K20" s="14">
        <v>56</v>
      </c>
    </row>
    <row r="21" spans="10:11" x14ac:dyDescent="0.3">
      <c r="J21" s="13" t="s">
        <v>5</v>
      </c>
      <c r="K21" s="14">
        <v>30</v>
      </c>
    </row>
    <row r="22" spans="10:11" x14ac:dyDescent="0.3">
      <c r="J22" s="15" t="s">
        <v>19</v>
      </c>
      <c r="K22" s="16">
        <v>1426</v>
      </c>
    </row>
  </sheetData>
  <mergeCells count="3">
    <mergeCell ref="B4:C4"/>
    <mergeCell ref="F4:G4"/>
    <mergeCell ref="J4:K4"/>
  </mergeCells>
  <pageMargins left="0.7" right="0.7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Data</vt:lpstr>
      <vt:lpstr>Sales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Yurii Shust</dc:creator>
  <cp:lastModifiedBy>Yurii Shust</cp:lastModifiedBy>
  <cp:lastPrinted>2026-05-05T15:05:30Z</cp:lastPrinted>
  <dcterms:created xsi:type="dcterms:W3CDTF">2015-06-05T18:17:20Z</dcterms:created>
  <dcterms:modified xsi:type="dcterms:W3CDTF">2026-05-05T15:06:05Z</dcterms:modified>
</cp:coreProperties>
</file>